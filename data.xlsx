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3f79df5fb76dfb/Documentos/Python/hitobaby/gestionportachupetes/"/>
    </mc:Choice>
  </mc:AlternateContent>
  <xr:revisionPtr revIDLastSave="5" documentId="8_{4ED755B1-52EE-4192-B8F9-B2F41BABD889}" xr6:coauthVersionLast="47" xr6:coauthVersionMax="47" xr10:uidLastSave="{FC44B00A-4BD4-4703-9AC6-C47273EBF3DE}"/>
  <bookViews>
    <workbookView xWindow="-110" yWindow="-110" windowWidth="19420" windowHeight="11500" activeTab="1" xr2:uid="{4C549C86-D452-48C7-9032-03B7C1B65734}"/>
  </bookViews>
  <sheets>
    <sheet name="Sheet1" sheetId="1" r:id="rId1"/>
    <sheet name="Sheet2" sheetId="2" r:id="rId2"/>
  </sheets>
  <definedNames>
    <definedName name="_xlnm._FilterDatabase" localSheetId="0" hidden="1">Sheet1!$A$1:$H$18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1" l="1"/>
  <c r="D23" i="1" s="1"/>
  <c r="E21" i="1"/>
  <c r="D21" i="1"/>
  <c r="E3" i="1"/>
  <c r="E12" i="1"/>
  <c r="E11" i="1"/>
  <c r="E9" i="1"/>
  <c r="E8" i="1"/>
  <c r="E7" i="1"/>
  <c r="E6" i="1"/>
  <c r="E10" i="1"/>
  <c r="E2" i="1"/>
  <c r="E4" i="1"/>
  <c r="E13" i="1"/>
  <c r="E14" i="1"/>
  <c r="E16" i="1"/>
  <c r="E17" i="1"/>
  <c r="E20" i="1" l="1"/>
  <c r="E23" i="1" s="1"/>
  <c r="D22" i="1"/>
  <c r="E22" i="1" l="1"/>
</calcChain>
</file>

<file path=xl/sharedStrings.xml><?xml version="1.0" encoding="utf-8"?>
<sst xmlns="http://schemas.openxmlformats.org/spreadsheetml/2006/main" count="88" uniqueCount="38">
  <si>
    <t>ID</t>
  </si>
  <si>
    <t>Estado</t>
  </si>
  <si>
    <t>Amelia</t>
  </si>
  <si>
    <t>Aurora Coral</t>
  </si>
  <si>
    <t>Gianluca</t>
  </si>
  <si>
    <t>Alma</t>
  </si>
  <si>
    <t>Juana</t>
  </si>
  <si>
    <t>Aithana</t>
  </si>
  <si>
    <t>Bruno</t>
  </si>
  <si>
    <t>Gian</t>
  </si>
  <si>
    <t>Catalina</t>
  </si>
  <si>
    <t>Giovanni</t>
  </si>
  <si>
    <t>Amelie Oasis</t>
  </si>
  <si>
    <t>Pia</t>
  </si>
  <si>
    <t>Zhamira</t>
  </si>
  <si>
    <t>Adriel</t>
  </si>
  <si>
    <t>Olivia</t>
  </si>
  <si>
    <t>Valor ACTUAL</t>
  </si>
  <si>
    <t>Nombre</t>
  </si>
  <si>
    <t>Valor FINAL</t>
  </si>
  <si>
    <t>Finalizado</t>
  </si>
  <si>
    <t>Señado</t>
  </si>
  <si>
    <t>TOTAL C/U</t>
  </si>
  <si>
    <t>GANANCIA NETA</t>
  </si>
  <si>
    <t>GANANCIA BRUTA</t>
  </si>
  <si>
    <t>COSTOS</t>
  </si>
  <si>
    <t>Benicio</t>
  </si>
  <si>
    <t>ALTA</t>
  </si>
  <si>
    <t>BAJA</t>
  </si>
  <si>
    <t>Letras 11 de Julio</t>
  </si>
  <si>
    <t>Broches 10 de Julio</t>
  </si>
  <si>
    <t>Dijes 9 de Julio</t>
  </si>
  <si>
    <t>Periodo</t>
  </si>
  <si>
    <t>-</t>
  </si>
  <si>
    <t>TODO</t>
  </si>
  <si>
    <t>Bolitas, Lentejas y dijes especiales 16 de Julio</t>
  </si>
  <si>
    <t>Bolitas, Lentejas y Dijes Especiales</t>
  </si>
  <si>
    <t>Dije, Broche y Letras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</si>
</sst>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_-;\-&quot;$&quot;\ * #,##0.0_-;_-&quot;$&quot;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1" fillId="2" borderId="0" xfId="0" applyNumberFormat="1" applyFont="1" applyFill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164" fontId="0" fillId="0" borderId="0" xfId="1" applyNumberFormat="1" applyFont="1"/>
    <xf numFmtId="164" fontId="1" fillId="0" borderId="0" xfId="1" applyNumberFormat="1" applyFont="1" applyAlignment="1">
      <alignment horizontal="center" vertical="center"/>
    </xf>
    <xf numFmtId="14" fontId="0" fillId="0" borderId="0" xfId="0" applyNumberFormat="1"/>
    <xf numFmtId="164" fontId="0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558E-D968-4763-BE31-9CCE6F832ED3}">
  <dimension ref="A1:K23"/>
  <sheetViews>
    <sheetView workbookViewId="0">
      <selection activeCell="C2" sqref="C2:C18"/>
    </sheetView>
  </sheetViews>
  <sheetFormatPr defaultRowHeight="14.5" x14ac:dyDescent="0.35"/>
  <cols>
    <col min="1" max="1" width="11.7265625" bestFit="1" customWidth="1"/>
    <col min="2" max="2" width="15.7265625" bestFit="1" customWidth="1"/>
    <col min="3" max="3" width="12" bestFit="1" customWidth="1"/>
    <col min="4" max="4" width="16.54296875" bestFit="1" customWidth="1"/>
    <col min="5" max="5" width="14.81640625" bestFit="1" customWidth="1"/>
    <col min="6" max="6" width="11" bestFit="1" customWidth="1"/>
    <col min="7" max="7" width="29.36328125" bestFit="1" customWidth="1"/>
    <col min="8" max="8" width="18.7265625" style="5" bestFit="1" customWidth="1"/>
    <col min="11" max="11" width="37.90625" bestFit="1" customWidth="1"/>
  </cols>
  <sheetData>
    <row r="1" spans="1:11" s="4" customFormat="1" x14ac:dyDescent="0.35">
      <c r="A1" s="4" t="s">
        <v>32</v>
      </c>
      <c r="B1" s="4" t="s">
        <v>0</v>
      </c>
      <c r="C1" s="4" t="s">
        <v>18</v>
      </c>
      <c r="D1" s="4" t="s">
        <v>17</v>
      </c>
      <c r="E1" s="4" t="s">
        <v>19</v>
      </c>
      <c r="F1" s="4" t="s">
        <v>1</v>
      </c>
      <c r="G1" s="4" t="s">
        <v>27</v>
      </c>
      <c r="H1" s="6" t="s">
        <v>28</v>
      </c>
    </row>
    <row r="2" spans="1:11" x14ac:dyDescent="0.35">
      <c r="A2" s="7">
        <v>46210</v>
      </c>
      <c r="B2">
        <v>1</v>
      </c>
      <c r="C2" t="s">
        <v>4</v>
      </c>
      <c r="D2" s="1">
        <v>23500</v>
      </c>
      <c r="E2" s="1">
        <f>+D2</f>
        <v>23500</v>
      </c>
      <c r="F2" t="s">
        <v>20</v>
      </c>
      <c r="G2" t="s">
        <v>34</v>
      </c>
      <c r="H2" s="8" t="s">
        <v>33</v>
      </c>
      <c r="K2" t="s">
        <v>31</v>
      </c>
    </row>
    <row r="3" spans="1:11" x14ac:dyDescent="0.35">
      <c r="A3" s="7">
        <v>46212</v>
      </c>
      <c r="B3">
        <v>2</v>
      </c>
      <c r="C3" t="s">
        <v>2</v>
      </c>
      <c r="D3" s="1">
        <v>20500</v>
      </c>
      <c r="E3" s="1">
        <f>+D3</f>
        <v>20500</v>
      </c>
      <c r="F3" t="s">
        <v>20</v>
      </c>
      <c r="G3" t="s">
        <v>34</v>
      </c>
      <c r="H3" s="8" t="s">
        <v>33</v>
      </c>
      <c r="K3" t="s">
        <v>30</v>
      </c>
    </row>
    <row r="4" spans="1:11" x14ac:dyDescent="0.35">
      <c r="A4" s="7">
        <v>46212</v>
      </c>
      <c r="B4">
        <v>3</v>
      </c>
      <c r="C4" t="s">
        <v>3</v>
      </c>
      <c r="D4" s="1">
        <v>25000</v>
      </c>
      <c r="E4" s="1">
        <f>+D4</f>
        <v>25000</v>
      </c>
      <c r="F4" t="s">
        <v>20</v>
      </c>
      <c r="G4" t="s">
        <v>34</v>
      </c>
      <c r="H4" s="8" t="s">
        <v>33</v>
      </c>
      <c r="K4" t="s">
        <v>29</v>
      </c>
    </row>
    <row r="5" spans="1:11" x14ac:dyDescent="0.35">
      <c r="A5" s="7">
        <v>46213</v>
      </c>
      <c r="B5">
        <v>4</v>
      </c>
      <c r="C5" t="s">
        <v>11</v>
      </c>
      <c r="D5" s="1">
        <v>23500</v>
      </c>
      <c r="E5" s="1">
        <v>23500</v>
      </c>
      <c r="F5" t="s">
        <v>20</v>
      </c>
      <c r="G5" t="s">
        <v>34</v>
      </c>
      <c r="H5" s="8" t="s">
        <v>33</v>
      </c>
      <c r="K5" t="s">
        <v>35</v>
      </c>
    </row>
    <row r="6" spans="1:11" x14ac:dyDescent="0.35">
      <c r="A6" s="7">
        <v>46216</v>
      </c>
      <c r="B6">
        <v>5</v>
      </c>
      <c r="C6" t="s">
        <v>6</v>
      </c>
      <c r="D6" s="1">
        <v>22000</v>
      </c>
      <c r="E6" s="1">
        <f t="shared" ref="E6:E14" si="0">+D6</f>
        <v>22000</v>
      </c>
      <c r="F6" t="s">
        <v>20</v>
      </c>
      <c r="G6" t="s">
        <v>36</v>
      </c>
      <c r="H6" s="5" t="s">
        <v>37</v>
      </c>
    </row>
    <row r="7" spans="1:11" x14ac:dyDescent="0.35">
      <c r="A7" s="7">
        <v>46216</v>
      </c>
      <c r="B7">
        <v>6</v>
      </c>
      <c r="C7" t="s">
        <v>6</v>
      </c>
      <c r="D7" s="1">
        <v>22000</v>
      </c>
      <c r="E7" s="1">
        <f t="shared" si="0"/>
        <v>22000</v>
      </c>
      <c r="F7" t="s">
        <v>20</v>
      </c>
      <c r="G7" t="s">
        <v>36</v>
      </c>
      <c r="H7" s="5" t="s">
        <v>37</v>
      </c>
    </row>
    <row r="8" spans="1:11" x14ac:dyDescent="0.35">
      <c r="A8" s="7">
        <v>46218</v>
      </c>
      <c r="B8">
        <v>7</v>
      </c>
      <c r="C8" t="s">
        <v>7</v>
      </c>
      <c r="D8" s="1">
        <v>23000</v>
      </c>
      <c r="E8" s="1">
        <f t="shared" si="0"/>
        <v>23000</v>
      </c>
      <c r="F8" t="s">
        <v>20</v>
      </c>
      <c r="G8" t="s">
        <v>36</v>
      </c>
      <c r="H8" s="5" t="s">
        <v>37</v>
      </c>
    </row>
    <row r="9" spans="1:11" x14ac:dyDescent="0.35">
      <c r="A9" s="7">
        <v>46218</v>
      </c>
      <c r="B9">
        <v>8</v>
      </c>
      <c r="C9" t="s">
        <v>8</v>
      </c>
      <c r="D9" s="1">
        <v>22000</v>
      </c>
      <c r="E9" s="1">
        <f t="shared" si="0"/>
        <v>22000</v>
      </c>
      <c r="F9" t="s">
        <v>20</v>
      </c>
      <c r="G9" t="s">
        <v>36</v>
      </c>
      <c r="H9" s="5" t="s">
        <v>37</v>
      </c>
    </row>
    <row r="10" spans="1:11" x14ac:dyDescent="0.35">
      <c r="A10" s="7">
        <v>46220</v>
      </c>
      <c r="B10">
        <v>9</v>
      </c>
      <c r="C10" t="s">
        <v>5</v>
      </c>
      <c r="D10" s="1">
        <v>24000</v>
      </c>
      <c r="E10" s="1">
        <f t="shared" si="0"/>
        <v>24000</v>
      </c>
      <c r="F10" t="s">
        <v>20</v>
      </c>
      <c r="G10" s="8" t="s">
        <v>33</v>
      </c>
      <c r="H10" s="5" t="s">
        <v>34</v>
      </c>
    </row>
    <row r="11" spans="1:11" x14ac:dyDescent="0.35">
      <c r="A11" s="7">
        <v>46220</v>
      </c>
      <c r="B11">
        <v>10</v>
      </c>
      <c r="C11" t="s">
        <v>9</v>
      </c>
      <c r="D11" s="1">
        <v>24000</v>
      </c>
      <c r="E11" s="1">
        <f t="shared" si="0"/>
        <v>24000</v>
      </c>
      <c r="F11" t="s">
        <v>20</v>
      </c>
      <c r="G11" s="8" t="s">
        <v>33</v>
      </c>
      <c r="H11" s="5" t="s">
        <v>34</v>
      </c>
    </row>
    <row r="12" spans="1:11" x14ac:dyDescent="0.35">
      <c r="A12" s="7">
        <v>46220</v>
      </c>
      <c r="B12">
        <v>11</v>
      </c>
      <c r="C12" t="s">
        <v>10</v>
      </c>
      <c r="D12" s="1">
        <v>25500</v>
      </c>
      <c r="E12" s="1">
        <f t="shared" si="0"/>
        <v>25500</v>
      </c>
      <c r="F12" t="s">
        <v>20</v>
      </c>
      <c r="G12" s="8" t="s">
        <v>33</v>
      </c>
      <c r="H12" s="5" t="s">
        <v>34</v>
      </c>
    </row>
    <row r="13" spans="1:11" x14ac:dyDescent="0.35">
      <c r="A13" s="7">
        <v>46224</v>
      </c>
      <c r="B13">
        <v>12</v>
      </c>
      <c r="C13" t="s">
        <v>12</v>
      </c>
      <c r="D13" s="1">
        <v>27000</v>
      </c>
      <c r="E13" s="1">
        <f t="shared" si="0"/>
        <v>27000</v>
      </c>
      <c r="F13" t="s">
        <v>20</v>
      </c>
      <c r="G13" s="8" t="s">
        <v>33</v>
      </c>
      <c r="H13" s="5" t="s">
        <v>34</v>
      </c>
    </row>
    <row r="14" spans="1:11" x14ac:dyDescent="0.35">
      <c r="A14" s="7">
        <v>46224</v>
      </c>
      <c r="B14">
        <v>13</v>
      </c>
      <c r="C14" t="s">
        <v>13</v>
      </c>
      <c r="D14" s="1">
        <v>24000</v>
      </c>
      <c r="E14" s="1">
        <f t="shared" si="0"/>
        <v>24000</v>
      </c>
      <c r="F14" t="s">
        <v>20</v>
      </c>
      <c r="G14" s="8" t="s">
        <v>33</v>
      </c>
      <c r="H14" s="5" t="s">
        <v>34</v>
      </c>
    </row>
    <row r="15" spans="1:11" x14ac:dyDescent="0.35">
      <c r="A15" s="7">
        <v>46226</v>
      </c>
      <c r="B15">
        <v>14</v>
      </c>
      <c r="C15" t="s">
        <v>14</v>
      </c>
      <c r="D15" s="1">
        <v>25000</v>
      </c>
      <c r="E15" s="1">
        <v>25000</v>
      </c>
      <c r="F15" t="s">
        <v>20</v>
      </c>
      <c r="G15" s="8" t="s">
        <v>33</v>
      </c>
      <c r="H15" s="5" t="s">
        <v>34</v>
      </c>
    </row>
    <row r="16" spans="1:11" x14ac:dyDescent="0.35">
      <c r="A16" s="7">
        <v>46226</v>
      </c>
      <c r="B16">
        <v>15</v>
      </c>
      <c r="C16" t="s">
        <v>15</v>
      </c>
      <c r="D16" s="1">
        <v>24500</v>
      </c>
      <c r="E16" s="1">
        <f>+D16</f>
        <v>24500</v>
      </c>
      <c r="F16" t="s">
        <v>20</v>
      </c>
      <c r="G16" s="8" t="s">
        <v>33</v>
      </c>
      <c r="H16" s="5" t="s">
        <v>34</v>
      </c>
    </row>
    <row r="17" spans="1:8" x14ac:dyDescent="0.35">
      <c r="A17" s="7">
        <v>46228</v>
      </c>
      <c r="B17">
        <v>16</v>
      </c>
      <c r="C17" t="s">
        <v>16</v>
      </c>
      <c r="D17" s="1">
        <v>24500</v>
      </c>
      <c r="E17" s="1">
        <f>+D17</f>
        <v>24500</v>
      </c>
      <c r="F17" t="s">
        <v>20</v>
      </c>
      <c r="G17" s="8" t="s">
        <v>33</v>
      </c>
      <c r="H17" s="5" t="s">
        <v>34</v>
      </c>
    </row>
    <row r="18" spans="1:8" x14ac:dyDescent="0.35">
      <c r="A18" s="7">
        <v>46228</v>
      </c>
      <c r="B18">
        <v>17</v>
      </c>
      <c r="C18" t="s">
        <v>26</v>
      </c>
      <c r="D18" s="1">
        <v>23000</v>
      </c>
      <c r="E18" s="1">
        <v>5000</v>
      </c>
      <c r="F18" t="s">
        <v>21</v>
      </c>
      <c r="G18" s="8" t="s">
        <v>33</v>
      </c>
      <c r="H18" s="5" t="s">
        <v>34</v>
      </c>
    </row>
    <row r="19" spans="1:8" x14ac:dyDescent="0.35">
      <c r="D19" s="1"/>
      <c r="E19" s="1"/>
    </row>
    <row r="20" spans="1:8" x14ac:dyDescent="0.35">
      <c r="B20" s="3" t="s">
        <v>24</v>
      </c>
      <c r="C20" s="3"/>
      <c r="D20" s="2">
        <f>+SUM(D2:D19)</f>
        <v>403000</v>
      </c>
      <c r="E20" s="2">
        <f>+SUM(E2:E19)</f>
        <v>385000</v>
      </c>
      <c r="F20" s="3"/>
    </row>
    <row r="21" spans="1:8" x14ac:dyDescent="0.35">
      <c r="B21" s="3" t="s">
        <v>25</v>
      </c>
      <c r="C21" s="3"/>
      <c r="D21" s="2">
        <f>+COUNT(B2:B19)*5500</f>
        <v>93500</v>
      </c>
      <c r="E21" s="2">
        <f>+COUNT(B2:B19)*5500</f>
        <v>93500</v>
      </c>
      <c r="F21" s="3"/>
    </row>
    <row r="22" spans="1:8" x14ac:dyDescent="0.35">
      <c r="B22" s="3" t="s">
        <v>23</v>
      </c>
      <c r="C22" s="3"/>
      <c r="D22" s="2">
        <f>+D20-D21</f>
        <v>309500</v>
      </c>
      <c r="E22" s="2">
        <f>+E20-E21</f>
        <v>291500</v>
      </c>
      <c r="F22" s="3"/>
    </row>
    <row r="23" spans="1:8" x14ac:dyDescent="0.35">
      <c r="B23" s="3" t="s">
        <v>22</v>
      </c>
      <c r="C23" s="3"/>
      <c r="D23" s="2">
        <f>+D20/2</f>
        <v>201500</v>
      </c>
      <c r="E23" s="2">
        <f>+E20/2</f>
        <v>192500</v>
      </c>
      <c r="F23" s="3"/>
    </row>
  </sheetData>
  <autoFilter ref="A1:H18" xr:uid="{191E558E-D968-4763-BE31-9CCE6F832ED3}">
    <sortState xmlns:xlrd2="http://schemas.microsoft.com/office/spreadsheetml/2017/richdata2" ref="A2:H18">
      <sortCondition ref="A1:A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2C00-2B1C-420D-A428-82AD1BB2FAAA}">
  <dimension ref="A1:A4"/>
  <sheetViews>
    <sheetView tabSelected="1" workbookViewId="0">
      <selection activeCell="U3" sqref="U3"/>
    </sheetView>
  </sheetViews>
  <sheetFormatPr defaultRowHeight="14.5" x14ac:dyDescent="0.35"/>
  <cols>
    <col min="1" max="1" width="11.36328125" bestFit="1" customWidth="1"/>
    <col min="2" max="2" width="6.36328125" bestFit="1" customWidth="1"/>
    <col min="3" max="3" width="10.90625" bestFit="1" customWidth="1"/>
    <col min="4" max="4" width="7.81640625" bestFit="1" customWidth="1"/>
    <col min="5" max="6" width="5.453125" bestFit="1" customWidth="1"/>
    <col min="7" max="7" width="7" bestFit="1" customWidth="1"/>
    <col min="8" max="8" width="5.54296875" bestFit="1" customWidth="1"/>
    <col min="9" max="9" width="4.90625" bestFit="1" customWidth="1"/>
    <col min="10" max="10" width="4.54296875" bestFit="1" customWidth="1"/>
    <col min="11" max="11" width="7.6328125" bestFit="1" customWidth="1"/>
    <col min="12" max="12" width="11.36328125" bestFit="1" customWidth="1"/>
    <col min="13" max="13" width="3.36328125" bestFit="1" customWidth="1"/>
    <col min="14" max="14" width="7.36328125" bestFit="1" customWidth="1"/>
    <col min="15" max="15" width="5.453125" bestFit="1" customWidth="1"/>
    <col min="16" max="16" width="5.36328125" bestFit="1" customWidth="1"/>
    <col min="17" max="17" width="6.81640625" bestFit="1" customWidth="1"/>
  </cols>
  <sheetData>
    <row r="1" spans="1:1" x14ac:dyDescent="0.35">
      <c r="A1" t="s">
        <v>4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mera</dc:creator>
  <cp:lastModifiedBy>Juan mera</cp:lastModifiedBy>
  <dcterms:created xsi:type="dcterms:W3CDTF">2026-07-23T18:43:43Z</dcterms:created>
  <dcterms:modified xsi:type="dcterms:W3CDTF">2026-08-05T02:50:12Z</dcterms:modified>
</cp:coreProperties>
</file>